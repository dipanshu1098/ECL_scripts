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2v\OneDrive\Desktop\Tender's\Hardware Sizing\"/>
    </mc:Choice>
  </mc:AlternateContent>
  <xr:revisionPtr revIDLastSave="0" documentId="13_ncr:1_{0F1482A7-D7A4-4430-BC5A-0FF918EB30EE}" xr6:coauthVersionLast="47" xr6:coauthVersionMax="47" xr10:uidLastSave="{00000000-0000-0000-0000-000000000000}"/>
  <bookViews>
    <workbookView xWindow="-120" yWindow="-120" windowWidth="20730" windowHeight="11040" tabRatio="699" xr2:uid="{00000000-000D-0000-FFFF-FFFF00000000}"/>
  </bookViews>
  <sheets>
    <sheet name="Server Req." sheetId="28" r:id="rId1"/>
    <sheet name="SWM &amp; ITS - Server Conf." sheetId="12" state="hidden" r:id="rId2"/>
    <sheet name="Operator-Workstation" sheetId="13" state="hidden" r:id="rId3"/>
    <sheet name="Bandwidth" sheetId="6" state="hidden" r:id="rId4"/>
    <sheet name="Storage Req." sheetId="35" r:id="rId5"/>
    <sheet name="Assumption &amp; Dependencies" sheetId="38" r:id="rId6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3" i="35" l="1"/>
  <c r="K4" i="35" s="1"/>
  <c r="C4" i="35"/>
  <c r="J3" i="35"/>
  <c r="J4" i="35" l="1"/>
  <c r="L3" i="35"/>
  <c r="M3" i="35" l="1"/>
  <c r="M4" i="35" s="1"/>
  <c r="L4" i="35"/>
  <c r="H5" i="13" l="1"/>
  <c r="T4" i="13"/>
  <c r="T5" i="13" s="1"/>
  <c r="S4" i="13"/>
  <c r="S5" i="13" s="1"/>
  <c r="R4" i="13"/>
  <c r="R5" i="13" s="1"/>
  <c r="Q4" i="13"/>
  <c r="Q5" i="13" s="1"/>
  <c r="P4" i="13"/>
  <c r="P5" i="13" s="1"/>
  <c r="O4" i="13"/>
  <c r="O5" i="13" s="1"/>
  <c r="U8" i="12"/>
  <c r="T8" i="12"/>
  <c r="S8" i="12"/>
  <c r="R8" i="12"/>
  <c r="Q8" i="12"/>
  <c r="P8" i="12"/>
  <c r="P9" i="12" s="1"/>
  <c r="U7" i="12"/>
  <c r="U9" i="12" s="1"/>
  <c r="T7" i="12"/>
  <c r="S7" i="12"/>
  <c r="R7" i="12"/>
  <c r="Q7" i="12"/>
  <c r="P7" i="12"/>
  <c r="I9" i="12"/>
  <c r="I6" i="12"/>
  <c r="U5" i="12"/>
  <c r="T5" i="12"/>
  <c r="S5" i="12"/>
  <c r="R5" i="12"/>
  <c r="Q5" i="12"/>
  <c r="P5" i="12"/>
  <c r="U4" i="12"/>
  <c r="U6" i="12" s="1"/>
  <c r="T4" i="12"/>
  <c r="T6" i="12" s="1"/>
  <c r="S4" i="12"/>
  <c r="S6" i="12" s="1"/>
  <c r="R4" i="12"/>
  <c r="Q4" i="12"/>
  <c r="P4" i="12"/>
  <c r="Q6" i="12" l="1"/>
  <c r="S9" i="12"/>
  <c r="P6" i="12"/>
  <c r="R6" i="12"/>
  <c r="R9" i="12"/>
  <c r="T9" i="12"/>
  <c r="Q9" i="12"/>
</calcChain>
</file>

<file path=xl/sharedStrings.xml><?xml version="1.0" encoding="utf-8"?>
<sst xmlns="http://schemas.openxmlformats.org/spreadsheetml/2006/main" count="236" uniqueCount="134">
  <si>
    <t xml:space="preserve">S no </t>
  </si>
  <si>
    <t xml:space="preserve">Application name </t>
  </si>
  <si>
    <t xml:space="preserve">Operating system </t>
  </si>
  <si>
    <t>Cluster/LB</t>
  </si>
  <si>
    <t>Qty</t>
  </si>
  <si>
    <t>vRAM (GB)</t>
  </si>
  <si>
    <t>In-VM Storage(GB)</t>
  </si>
  <si>
    <t>Server role(Web,App,DB)</t>
  </si>
  <si>
    <t>Virtual</t>
  </si>
  <si>
    <t>LB</t>
  </si>
  <si>
    <t>DC</t>
  </si>
  <si>
    <t>Location (DC.DR)</t>
  </si>
  <si>
    <t>Bandwidth requirement between locations?</t>
  </si>
  <si>
    <t>MPLS or ILL?</t>
  </si>
  <si>
    <t>30Mbps</t>
  </si>
  <si>
    <t>SL No</t>
  </si>
  <si>
    <t>Bandwidth Type</t>
  </si>
  <si>
    <t>Capacity</t>
  </si>
  <si>
    <t>Requirment</t>
  </si>
  <si>
    <t>from Sensor Data</t>
  </si>
  <si>
    <t>Dowloading / Uploading</t>
  </si>
  <si>
    <t>Dowloading</t>
  </si>
  <si>
    <t>Uploading</t>
  </si>
  <si>
    <t>Year</t>
  </si>
  <si>
    <t>Year 1</t>
  </si>
  <si>
    <t>CCC User</t>
  </si>
  <si>
    <t>DC - DR</t>
  </si>
  <si>
    <t>10Mbps</t>
  </si>
  <si>
    <t>20Mbps</t>
  </si>
  <si>
    <t>Data Replication</t>
  </si>
  <si>
    <t>MPLS</t>
  </si>
  <si>
    <t>Year 2</t>
  </si>
  <si>
    <t>Year 4</t>
  </si>
  <si>
    <t>Year 3</t>
  </si>
  <si>
    <t>Year 5</t>
  </si>
  <si>
    <t>This is Recommended by trintiy HP to Confirm</t>
  </si>
  <si>
    <t>Remarks</t>
  </si>
  <si>
    <t>12Mbps</t>
  </si>
  <si>
    <t>35Mbps</t>
  </si>
  <si>
    <t>52Mbps</t>
  </si>
  <si>
    <t>Internet for Server</t>
  </si>
  <si>
    <t>72Mbps</t>
  </si>
  <si>
    <t>75Mbps</t>
  </si>
  <si>
    <t>15Mbps</t>
  </si>
  <si>
    <t>15Mbps - 20Mbps</t>
  </si>
  <si>
    <t>Virtual /Physical</t>
  </si>
  <si>
    <t>OS Disk (GB)</t>
  </si>
  <si>
    <t>Data Disk (GB)</t>
  </si>
  <si>
    <t>Per VM Configuration</t>
  </si>
  <si>
    <t>Total Cores (Nos)</t>
  </si>
  <si>
    <t>Total RAM (GB)</t>
  </si>
  <si>
    <t>Total External storage (GB)</t>
  </si>
  <si>
    <t>VCores (Nos)</t>
  </si>
  <si>
    <t>Total OS Disk (TB)</t>
  </si>
  <si>
    <t>Total Data Disk (TB)</t>
  </si>
  <si>
    <t>Total  VM Configuration</t>
  </si>
  <si>
    <t>DR</t>
  </si>
  <si>
    <t>Windows 2012 R2 SE</t>
  </si>
  <si>
    <t>CPU
(Ghz)</t>
  </si>
  <si>
    <t>External storage (TB)</t>
  </si>
  <si>
    <t>Total</t>
  </si>
  <si>
    <t>trinitySWM- Database Server</t>
  </si>
  <si>
    <t>trinitySWM &amp; trinityITMS</t>
  </si>
  <si>
    <t>trinitySWM – Application Server</t>
  </si>
  <si>
    <t>ICCC Workstastion</t>
  </si>
  <si>
    <t>Operator</t>
  </si>
  <si>
    <t>Operator role(Web,App,DB)</t>
  </si>
  <si>
    <t>Physical</t>
  </si>
  <si>
    <t>Windows 10</t>
  </si>
  <si>
    <t>NA</t>
  </si>
  <si>
    <t>RAM</t>
  </si>
  <si>
    <t>-</t>
  </si>
  <si>
    <t>H.265</t>
  </si>
  <si>
    <t>Application Module</t>
  </si>
  <si>
    <t xml:space="preserve">Network Interface Card (NIC) </t>
  </si>
  <si>
    <t>1x1G Ethernet Port</t>
  </si>
  <si>
    <t>(Base Clock Speed)</t>
  </si>
  <si>
    <t>Internal Storage (for OS and application in GB)</t>
  </si>
  <si>
    <t>SDK/API of all 3rd party systems, external devices, gateways etc. must be available for integration</t>
  </si>
  <si>
    <t>Assumptions/Dependency:</t>
  </si>
  <si>
    <t>Windows Server-2019/2022</t>
  </si>
  <si>
    <t>1 Nos.</t>
  </si>
  <si>
    <t xml:space="preserve">Operating System </t>
  </si>
  <si>
    <t xml:space="preserve">1x Nvidia T1000 (8GB) Graphics Card </t>
  </si>
  <si>
    <t xml:space="preserve">Community version Database of the offered i2V software will come with i2V software so no separate DB license/server is required.   </t>
  </si>
  <si>
    <t>S.No.</t>
  </si>
  <si>
    <t>GPU/Non-GPU Server/Workstation</t>
  </si>
  <si>
    <t>Non-GPU Server</t>
  </si>
  <si>
    <t>Number of Server (Qty)</t>
  </si>
  <si>
    <t>Server Configuration</t>
  </si>
  <si>
    <t>GPU Specifiations</t>
  </si>
  <si>
    <t>3.0 GHz</t>
  </si>
  <si>
    <t>Recording Codec</t>
  </si>
  <si>
    <t>Recording Days</t>
  </si>
  <si>
    <t>Storage
IOPS</t>
  </si>
  <si>
    <t>Storage Throughput 
Random (MBps)</t>
  </si>
  <si>
    <t>S. No.</t>
  </si>
  <si>
    <t>Camera Type</t>
  </si>
  <si>
    <t>Cameras</t>
  </si>
  <si>
    <t>Recording Resolution</t>
  </si>
  <si>
    <t>FPS</t>
  </si>
  <si>
    <t>Hours/ Day</t>
  </si>
  <si>
    <t>Bandwidth Required per camera (Kbps)</t>
  </si>
  <si>
    <t>Total Camera</t>
  </si>
  <si>
    <t>All Hardware devices/Equipment's must be connected with server with proper bandwidth and Networking (LAN). All the software Sub-System shall be residing within the Server/Workstation shall be reachable within the LAN Network &amp; Communication to the respective Sub-Systems should be well established &amp; reachable from the Servers.</t>
  </si>
  <si>
    <t>PC/ Client Workstation</t>
  </si>
  <si>
    <t>2.4 GHz</t>
  </si>
  <si>
    <t>All hardware Server, Workstations and Operating Systems must be latest version from respective vendors as per i2V recommendations &amp; Strictly in Accordance with i2V Provided Hardware Sizing.</t>
  </si>
  <si>
    <t>This server storage sizing is only valid for the following six months. Please contact the i2V Presales Team for updated sizing once your validity period has expired.</t>
  </si>
  <si>
    <t>1x 500GB SSD</t>
  </si>
  <si>
    <t>Workstation</t>
  </si>
  <si>
    <t xml:space="preserve">Total Required usable Storage and Throughput </t>
  </si>
  <si>
    <t>as per Required</t>
  </si>
  <si>
    <t>1 x Intel® Core™ i9-10900 Processor</t>
  </si>
  <si>
    <t>Windows 10/11-Professional
64 Bit Operating System</t>
  </si>
  <si>
    <t>4x1G Ethernet Port 
&amp; 1x10G SFP+</t>
  </si>
  <si>
    <t xml:space="preserve"> IP Camera</t>
  </si>
  <si>
    <t xml:space="preserve">Proposed storage must have sufficient IOPS or Data Write/Read speed as mentioned in the Hardware Sizing. </t>
  </si>
  <si>
    <t>The Outgoing bandwidth at each camera location is dependent on the cameras being Live Streamed &amp; Playback of recording at the central location simultaneously.</t>
  </si>
  <si>
    <t xml:space="preserve">The Incoming bandwidth at the central location is dependent on the total no. of cameras being monitored (Live or Playback) simultaneously from 1 or more locations. </t>
  </si>
  <si>
    <t>Storage Calculations are given basis the assumed bit rate for the respective camera/s and for the duration. Partner shall get the exact camera-wise bitrate from the camera OEM. The bitrate assumptions can change by camera OEM, scene activity, frame rate and compression.</t>
  </si>
  <si>
    <t xml:space="preserve">Recommended network connectivity is a MPLS connectivity or a Leased line connectivity. 
Broadband internet connectivity is strictly not recommended. </t>
  </si>
  <si>
    <t>We Are Assuming the all the Cameras's, Servers &amp; Workstation are connected within the same Local Area Network (LAN).</t>
  </si>
  <si>
    <t>Central Storage- Video Data Storage for Continuous Recording for period of 180 days</t>
  </si>
  <si>
    <t>i2V Central Video Managmet +
Central Recoding Software</t>
  </si>
  <si>
    <r>
      <t xml:space="preserve">Usable Storage (TB) 
</t>
    </r>
    <r>
      <rPr>
        <b/>
        <sz val="11"/>
        <color rgb="FF7030A0"/>
        <rFont val="Cambria"/>
        <family val="1"/>
      </rPr>
      <t xml:space="preserve">without RAID </t>
    </r>
  </si>
  <si>
    <r>
      <rPr>
        <b/>
        <sz val="11"/>
        <color theme="1"/>
        <rFont val="Cambria"/>
        <family val="1"/>
      </rPr>
      <t>Client System for silmultaneous viewing and monitoring of the following:</t>
    </r>
    <r>
      <rPr>
        <sz val="11"/>
        <color theme="1"/>
        <rFont val="Cambria"/>
        <family val="1"/>
      </rPr>
      <t xml:space="preserve">
a) Livewing and Monitoring of 25 cameras at 720p 25fps or 40 cameras at 4CIF/D1, 15 fps
b) Playback speed should be 1x.                                                                                     </t>
    </r>
  </si>
  <si>
    <t>VMS Software Application Sizing for PGCIL-Central Monitoring</t>
  </si>
  <si>
    <t>1MP (1280 x 720)</t>
  </si>
  <si>
    <t>Disk Storage 
Throughput 
(Mbps)</t>
  </si>
  <si>
    <t>2x Intel Xeon Processor (8Core/16Threads) ==Total 16Core</t>
  </si>
  <si>
    <t>2x 480GB SSD
in RAID 1 configuration</t>
  </si>
  <si>
    <r>
      <t xml:space="preserve">Centralized Storage –  Considering total 200  Cameras 
1) Considered Recording of (200) Camera at </t>
    </r>
    <r>
      <rPr>
        <sz val="11.5"/>
        <color rgb="FF0070C0"/>
        <rFont val="Cambria"/>
        <family val="1"/>
      </rPr>
      <t>1280x720p @25 FPS, 1024 Kbps Bit Rate &amp; H.265 Codec at central location.</t>
    </r>
  </si>
  <si>
    <t>Video Management Software for 200 cameras with central recording at 1MP resolution.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</si>
</sst>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3"/>
      <color theme="0"/>
      <name val="Cambria"/>
      <family val="1"/>
    </font>
    <font>
      <sz val="11"/>
      <name val="Cambria"/>
      <family val="1"/>
    </font>
    <font>
      <sz val="11.5"/>
      <color theme="1"/>
      <name val="Cambria"/>
      <family val="1"/>
    </font>
    <font>
      <sz val="11"/>
      <color theme="1"/>
      <name val="Cambria"/>
      <family val="1"/>
    </font>
    <font>
      <b/>
      <sz val="16"/>
      <color theme="0"/>
      <name val="Cambria"/>
      <family val="1"/>
    </font>
    <font>
      <b/>
      <sz val="11"/>
      <name val="Cambria"/>
      <family val="1"/>
    </font>
    <font>
      <b/>
      <sz val="11"/>
      <color rgb="FF7030A0"/>
      <name val="Cambria"/>
      <family val="1"/>
    </font>
    <font>
      <sz val="11"/>
      <color rgb="FF000000"/>
      <name val="Cambria"/>
      <family val="1"/>
    </font>
    <font>
      <b/>
      <sz val="11"/>
      <color theme="1"/>
      <name val="Cambria"/>
      <family val="1"/>
    </font>
    <font>
      <b/>
      <sz val="24"/>
      <color theme="0"/>
      <name val="Cambria"/>
      <family val="1"/>
    </font>
    <font>
      <sz val="11.5"/>
      <color rgb="FF0070C0"/>
      <name val="Cambria"/>
      <family val="1"/>
    </font>
  </fonts>
  <fills count="1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10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0" fillId="0" borderId="9" xfId="0" applyBorder="1"/>
    <xf numFmtId="0" fontId="0" fillId="0" borderId="9" xfId="0" applyBorder="1" applyAlignment="1">
      <alignment wrapText="1"/>
    </xf>
    <xf numFmtId="0" fontId="0" fillId="0" borderId="9" xfId="0" applyBorder="1" applyAlignment="1">
      <alignment horizontal="center" vertical="center"/>
    </xf>
    <xf numFmtId="0" fontId="0" fillId="0" borderId="8" xfId="0" applyBorder="1"/>
    <xf numFmtId="0" fontId="1" fillId="6" borderId="10" xfId="0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1" xfId="0" applyBorder="1" applyAlignment="1">
      <alignment wrapText="1"/>
    </xf>
    <xf numFmtId="0" fontId="0" fillId="0" borderId="11" xfId="0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6" borderId="9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0" fillId="4" borderId="4" xfId="0" applyFill="1" applyBorder="1" applyAlignment="1">
      <alignment vertical="center"/>
    </xf>
    <xf numFmtId="0" fontId="0" fillId="4" borderId="2" xfId="0" applyFill="1" applyBorder="1" applyAlignment="1">
      <alignment vertical="center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0" fillId="0" borderId="0" xfId="0" applyAlignment="1">
      <alignment horizontal="left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left" vertical="center" wrapText="1"/>
    </xf>
    <xf numFmtId="0" fontId="6" fillId="0" borderId="26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left" vertical="center" wrapText="1"/>
    </xf>
    <xf numFmtId="0" fontId="6" fillId="0" borderId="27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top" wrapText="1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5" fillId="12" borderId="13" xfId="0" applyFont="1" applyFill="1" applyBorder="1" applyAlignment="1">
      <alignment horizontal="center" vertical="center" wrapText="1"/>
    </xf>
    <xf numFmtId="0" fontId="5" fillId="12" borderId="15" xfId="0" applyFont="1" applyFill="1" applyBorder="1" applyAlignment="1">
      <alignment horizontal="center" vertical="center" wrapText="1"/>
    </xf>
    <xf numFmtId="0" fontId="9" fillId="13" borderId="13" xfId="0" applyFont="1" applyFill="1" applyBorder="1" applyAlignment="1">
      <alignment horizontal="center" vertical="center" wrapText="1"/>
    </xf>
    <xf numFmtId="0" fontId="9" fillId="13" borderId="14" xfId="0" applyFont="1" applyFill="1" applyBorder="1" applyAlignment="1">
      <alignment horizontal="center" vertical="center" wrapText="1"/>
    </xf>
    <xf numFmtId="0" fontId="9" fillId="13" borderId="15" xfId="0" applyFont="1" applyFill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4" xfId="0" applyFont="1" applyFill="1" applyBorder="1" applyAlignment="1">
      <alignment horizontal="center" vertical="center" wrapText="1"/>
    </xf>
    <xf numFmtId="0" fontId="10" fillId="9" borderId="15" xfId="0" applyFont="1" applyFill="1" applyBorder="1" applyAlignment="1">
      <alignment horizontal="center" vertical="center" wrapText="1"/>
    </xf>
    <xf numFmtId="0" fontId="6" fillId="5" borderId="28" xfId="0" applyFont="1" applyFill="1" applyBorder="1" applyAlignment="1">
      <alignment horizontal="center" vertical="center" wrapText="1"/>
    </xf>
    <xf numFmtId="0" fontId="12" fillId="5" borderId="22" xfId="0" applyFont="1" applyFill="1" applyBorder="1" applyAlignment="1">
      <alignment horizontal="center" vertical="center" wrapText="1"/>
    </xf>
    <xf numFmtId="0" fontId="8" fillId="5" borderId="22" xfId="0" applyFont="1" applyFill="1" applyBorder="1" applyAlignment="1">
      <alignment horizontal="center" vertical="center" wrapText="1"/>
    </xf>
    <xf numFmtId="0" fontId="6" fillId="5" borderId="22" xfId="0" applyFont="1" applyFill="1" applyBorder="1" applyAlignment="1">
      <alignment horizontal="center" vertical="center" wrapText="1"/>
    </xf>
    <xf numFmtId="0" fontId="10" fillId="5" borderId="22" xfId="0" applyFont="1" applyFill="1" applyBorder="1" applyAlignment="1">
      <alignment horizontal="center" vertical="center" wrapText="1"/>
    </xf>
    <xf numFmtId="0" fontId="8" fillId="5" borderId="22" xfId="0" applyFont="1" applyFill="1" applyBorder="1" applyAlignment="1">
      <alignment horizontal="center" vertical="center"/>
    </xf>
    <xf numFmtId="0" fontId="8" fillId="5" borderId="23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11" borderId="20" xfId="0" applyFont="1" applyFill="1" applyBorder="1" applyAlignment="1">
      <alignment horizontal="center" vertical="center"/>
    </xf>
    <xf numFmtId="0" fontId="13" fillId="0" borderId="19" xfId="0" applyFont="1" applyBorder="1" applyAlignment="1">
      <alignment horizontal="center" vertical="center" wrapText="1"/>
    </xf>
    <xf numFmtId="0" fontId="13" fillId="8" borderId="21" xfId="0" applyFont="1" applyFill="1" applyBorder="1" applyAlignment="1">
      <alignment horizontal="center" vertical="center"/>
    </xf>
    <xf numFmtId="0" fontId="13" fillId="8" borderId="22" xfId="0" applyFont="1" applyFill="1" applyBorder="1" applyAlignment="1">
      <alignment horizontal="center" vertical="center"/>
    </xf>
    <xf numFmtId="0" fontId="13" fillId="8" borderId="23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wrapText="1"/>
    </xf>
    <xf numFmtId="0" fontId="14" fillId="10" borderId="16" xfId="0" applyFont="1" applyFill="1" applyBorder="1" applyAlignment="1">
      <alignment horizontal="center" vertical="center"/>
    </xf>
    <xf numFmtId="0" fontId="14" fillId="10" borderId="17" xfId="0" applyFont="1" applyFill="1" applyBorder="1" applyAlignment="1">
      <alignment horizontal="center" vertical="center"/>
    </xf>
    <xf numFmtId="0" fontId="14" fillId="10" borderId="24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8" borderId="28" xfId="0" applyFont="1" applyFill="1" applyBorder="1" applyAlignment="1">
      <alignment horizontal="center" vertical="center" wrapText="1"/>
    </xf>
    <xf numFmtId="0" fontId="13" fillId="8" borderId="22" xfId="0" applyFont="1" applyFill="1" applyBorder="1" applyAlignment="1">
      <alignment horizontal="center" vertical="center" wrapText="1"/>
    </xf>
    <xf numFmtId="0" fontId="8" fillId="8" borderId="22" xfId="0" applyFont="1" applyFill="1" applyBorder="1" applyAlignment="1">
      <alignment horizontal="center" vertical="center" wrapText="1"/>
    </xf>
    <xf numFmtId="0" fontId="8" fillId="8" borderId="23" xfId="0" applyFont="1" applyFill="1" applyBorder="1" applyAlignment="1">
      <alignment vertical="center" wrapText="1"/>
    </xf>
    <xf numFmtId="0" fontId="13" fillId="7" borderId="13" xfId="0" applyFont="1" applyFill="1" applyBorder="1" applyAlignment="1">
      <alignment horizontal="center" vertical="center" wrapText="1"/>
    </xf>
    <xf numFmtId="0" fontId="13" fillId="7" borderId="14" xfId="0" applyFont="1" applyFill="1" applyBorder="1" applyAlignment="1">
      <alignment horizontal="center" vertical="center" wrapText="1"/>
    </xf>
    <xf numFmtId="0" fontId="13" fillId="7" borderId="14" xfId="1" applyFont="1" applyFill="1" applyBorder="1" applyAlignment="1">
      <alignment horizontal="center" vertical="center" wrapText="1"/>
    </xf>
    <xf numFmtId="0" fontId="13" fillId="7" borderId="15" xfId="1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center" vertical="center" wrapText="1"/>
    </xf>
    <xf numFmtId="0" fontId="13" fillId="5" borderId="14" xfId="0" applyFont="1" applyFill="1" applyBorder="1" applyAlignment="1">
      <alignment horizontal="center" vertical="center" wrapText="1"/>
    </xf>
    <xf numFmtId="0" fontId="8" fillId="5" borderId="15" xfId="0" applyFont="1" applyFill="1" applyBorder="1" applyAlignment="1">
      <alignment vertical="center" wrapText="1"/>
    </xf>
  </cellXfs>
  <cellStyles count="2">
    <cellStyle name="Normal" xfId="0" builtinId="0"/>
    <cellStyle name="Normal 2 3" xfId="1" xr:uid="{00000000-0005-0000-0000-000001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C00000"/>
  </sheetPr>
  <dimension ref="A1:M6"/>
  <sheetViews>
    <sheetView tabSelected="1" zoomScale="85" zoomScaleNormal="85" workbookViewId="0">
      <selection activeCell="E11" sqref="E11"/>
    </sheetView>
  </sheetViews>
  <sheetFormatPr defaultRowHeight="14.25" x14ac:dyDescent="0.25"/>
  <cols>
    <col min="1" max="1" width="9.140625" style="90"/>
    <col min="2" max="2" width="35.28515625" style="90" customWidth="1"/>
    <col min="3" max="3" width="21" style="90" customWidth="1"/>
    <col min="4" max="4" width="16.140625" style="90" bestFit="1" customWidth="1"/>
    <col min="5" max="5" width="41.28515625" style="90" bestFit="1" customWidth="1"/>
    <col min="6" max="6" width="15.5703125" style="90" customWidth="1"/>
    <col min="7" max="7" width="15.5703125" style="90" bestFit="1" customWidth="1"/>
    <col min="8" max="8" width="8" style="90" customWidth="1"/>
    <col min="9" max="9" width="20.7109375" style="90" bestFit="1" customWidth="1"/>
    <col min="10" max="10" width="24.85546875" style="90" bestFit="1" customWidth="1"/>
    <col min="11" max="11" width="19" style="90" bestFit="1" customWidth="1"/>
    <col min="12" max="12" width="22" style="90" bestFit="1" customWidth="1"/>
    <col min="13" max="13" width="57.42578125" style="90" customWidth="1"/>
    <col min="14" max="16384" width="9.140625" style="90"/>
  </cols>
  <sheetData>
    <row r="1" spans="1:13" ht="30.75" thickBot="1" x14ac:dyDescent="0.3">
      <c r="A1" s="87" t="s">
        <v>127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9"/>
    </row>
    <row r="2" spans="1:13" ht="15" thickBot="1" x14ac:dyDescent="0.3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</row>
    <row r="3" spans="1:13" ht="43.5" thickBot="1" x14ac:dyDescent="0.3">
      <c r="A3" s="97" t="s">
        <v>85</v>
      </c>
      <c r="B3" s="98" t="s">
        <v>73</v>
      </c>
      <c r="C3" s="99" t="s">
        <v>86</v>
      </c>
      <c r="D3" s="99" t="s">
        <v>88</v>
      </c>
      <c r="E3" s="99" t="s">
        <v>89</v>
      </c>
      <c r="F3" s="99" t="s">
        <v>76</v>
      </c>
      <c r="G3" s="99" t="s">
        <v>45</v>
      </c>
      <c r="H3" s="99" t="s">
        <v>70</v>
      </c>
      <c r="I3" s="99" t="s">
        <v>90</v>
      </c>
      <c r="J3" s="99" t="s">
        <v>77</v>
      </c>
      <c r="K3" s="99" t="s">
        <v>82</v>
      </c>
      <c r="L3" s="99" t="s">
        <v>74</v>
      </c>
      <c r="M3" s="100" t="s">
        <v>36</v>
      </c>
    </row>
    <row r="4" spans="1:13" ht="49.5" customHeight="1" thickBot="1" x14ac:dyDescent="0.3">
      <c r="A4" s="93">
        <v>1</v>
      </c>
      <c r="B4" s="94" t="s">
        <v>124</v>
      </c>
      <c r="C4" s="95" t="s">
        <v>87</v>
      </c>
      <c r="D4" s="95" t="s">
        <v>81</v>
      </c>
      <c r="E4" s="94" t="s">
        <v>130</v>
      </c>
      <c r="F4" s="95" t="s">
        <v>106</v>
      </c>
      <c r="G4" s="95" t="s">
        <v>67</v>
      </c>
      <c r="H4" s="95">
        <v>64</v>
      </c>
      <c r="I4" s="95" t="s">
        <v>71</v>
      </c>
      <c r="J4" s="95" t="s">
        <v>131</v>
      </c>
      <c r="K4" s="95" t="s">
        <v>80</v>
      </c>
      <c r="L4" s="95" t="s">
        <v>115</v>
      </c>
      <c r="M4" s="96" t="s">
        <v>133</v>
      </c>
    </row>
    <row r="5" spans="1:13" ht="15" thickBot="1" x14ac:dyDescent="0.3">
      <c r="A5" s="92"/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</row>
    <row r="6" spans="1:13" ht="84" customHeight="1" thickBot="1" x14ac:dyDescent="0.3">
      <c r="A6" s="101">
        <v>2</v>
      </c>
      <c r="B6" s="102" t="s">
        <v>105</v>
      </c>
      <c r="C6" s="102" t="s">
        <v>110</v>
      </c>
      <c r="D6" s="102" t="s">
        <v>112</v>
      </c>
      <c r="E6" s="103" t="s">
        <v>113</v>
      </c>
      <c r="F6" s="102" t="s">
        <v>91</v>
      </c>
      <c r="G6" s="102" t="s">
        <v>67</v>
      </c>
      <c r="H6" s="102">
        <v>16</v>
      </c>
      <c r="I6" s="102" t="s">
        <v>83</v>
      </c>
      <c r="J6" s="102" t="s">
        <v>109</v>
      </c>
      <c r="K6" s="102" t="s">
        <v>114</v>
      </c>
      <c r="L6" s="102" t="s">
        <v>75</v>
      </c>
      <c r="M6" s="104" t="s">
        <v>126</v>
      </c>
    </row>
  </sheetData>
  <mergeCells count="3">
    <mergeCell ref="A1:M1"/>
    <mergeCell ref="A2:M2"/>
    <mergeCell ref="A5:M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V10"/>
  <sheetViews>
    <sheetView workbookViewId="0">
      <selection activeCell="A4" sqref="A4:XFD5"/>
    </sheetView>
  </sheetViews>
  <sheetFormatPr defaultColWidth="9.140625" defaultRowHeight="15" x14ac:dyDescent="0.25"/>
  <cols>
    <col min="1" max="1" width="6" style="13" customWidth="1"/>
    <col min="2" max="2" width="12.85546875" style="14" customWidth="1"/>
    <col min="3" max="3" width="30.42578125" style="15" customWidth="1"/>
    <col min="4" max="4" width="8.42578125" style="13" customWidth="1"/>
    <col min="5" max="5" width="9.42578125" style="13" customWidth="1"/>
    <col min="6" max="7" width="14.140625" style="13" customWidth="1"/>
    <col min="8" max="8" width="7.28515625" style="13" customWidth="1"/>
    <col min="9" max="9" width="6.42578125" style="24" bestFit="1" customWidth="1"/>
    <col min="10" max="10" width="6.42578125" style="13" customWidth="1"/>
    <col min="11" max="11" width="7.7109375" style="13" customWidth="1"/>
    <col min="12" max="12" width="6.42578125" style="13" customWidth="1"/>
    <col min="13" max="13" width="8.42578125" style="13" customWidth="1"/>
    <col min="14" max="14" width="9.42578125" style="13" customWidth="1"/>
    <col min="15" max="15" width="9.42578125" style="24" customWidth="1"/>
    <col min="16" max="16" width="9.42578125" style="13" customWidth="1"/>
    <col min="17" max="21" width="9.140625" style="15"/>
    <col min="22" max="16384" width="9.140625" style="13"/>
  </cols>
  <sheetData>
    <row r="1" spans="1:22" x14ac:dyDescent="0.25">
      <c r="J1" s="40" t="s">
        <v>48</v>
      </c>
      <c r="K1" s="40"/>
      <c r="L1" s="40"/>
      <c r="M1" s="40"/>
      <c r="N1" s="40"/>
      <c r="O1" s="40"/>
      <c r="P1" s="41" t="s">
        <v>55</v>
      </c>
      <c r="Q1" s="41"/>
      <c r="R1" s="41"/>
      <c r="S1" s="41"/>
      <c r="T1" s="41"/>
      <c r="U1" s="41"/>
    </row>
    <row r="2" spans="1:22" ht="17.25" customHeight="1" x14ac:dyDescent="0.25">
      <c r="A2" s="42" t="s">
        <v>0</v>
      </c>
      <c r="B2" s="42" t="s">
        <v>1</v>
      </c>
      <c r="C2" s="42" t="s">
        <v>7</v>
      </c>
      <c r="D2" s="42" t="s">
        <v>11</v>
      </c>
      <c r="E2" s="42" t="s">
        <v>45</v>
      </c>
      <c r="F2" s="42" t="s">
        <v>2</v>
      </c>
      <c r="G2" s="26"/>
      <c r="H2" s="42" t="s">
        <v>3</v>
      </c>
      <c r="I2" s="42" t="s">
        <v>4</v>
      </c>
      <c r="J2" s="42" t="s">
        <v>58</v>
      </c>
      <c r="K2" s="42" t="s">
        <v>52</v>
      </c>
      <c r="L2" s="42" t="s">
        <v>5</v>
      </c>
      <c r="M2" s="44" t="s">
        <v>6</v>
      </c>
      <c r="N2" s="44"/>
      <c r="O2" s="42" t="s">
        <v>59</v>
      </c>
      <c r="P2" s="42" t="s">
        <v>58</v>
      </c>
      <c r="Q2" s="42" t="s">
        <v>49</v>
      </c>
      <c r="R2" s="42" t="s">
        <v>50</v>
      </c>
      <c r="S2" s="42" t="s">
        <v>6</v>
      </c>
      <c r="T2" s="42"/>
      <c r="U2" s="42" t="s">
        <v>51</v>
      </c>
    </row>
    <row r="3" spans="1:22" s="15" customFormat="1" ht="42.75" customHeight="1" x14ac:dyDescent="0.25">
      <c r="A3" s="43"/>
      <c r="B3" s="43"/>
      <c r="C3" s="43"/>
      <c r="D3" s="43"/>
      <c r="E3" s="43"/>
      <c r="F3" s="43"/>
      <c r="G3" s="17"/>
      <c r="H3" s="43"/>
      <c r="I3" s="43"/>
      <c r="J3" s="43"/>
      <c r="K3" s="43"/>
      <c r="L3" s="43"/>
      <c r="M3" s="17" t="s">
        <v>46</v>
      </c>
      <c r="N3" s="17" t="s">
        <v>47</v>
      </c>
      <c r="O3" s="43"/>
      <c r="P3" s="43"/>
      <c r="Q3" s="43"/>
      <c r="R3" s="43"/>
      <c r="S3" s="17" t="s">
        <v>53</v>
      </c>
      <c r="T3" s="17" t="s">
        <v>54</v>
      </c>
      <c r="U3" s="43"/>
    </row>
    <row r="4" spans="1:22" ht="30" x14ac:dyDescent="0.25">
      <c r="A4" s="29">
        <v>1</v>
      </c>
      <c r="B4" s="27" t="s">
        <v>62</v>
      </c>
      <c r="C4" s="10" t="s">
        <v>61</v>
      </c>
      <c r="D4" s="53" t="s">
        <v>10</v>
      </c>
      <c r="E4" s="8" t="s">
        <v>8</v>
      </c>
      <c r="F4" s="8" t="s">
        <v>57</v>
      </c>
      <c r="G4" s="8"/>
      <c r="H4" s="8" t="s">
        <v>9</v>
      </c>
      <c r="I4" s="8">
        <v>2</v>
      </c>
      <c r="J4" s="8">
        <v>2.4</v>
      </c>
      <c r="K4" s="8">
        <v>8</v>
      </c>
      <c r="L4" s="8">
        <v>32</v>
      </c>
      <c r="M4" s="8">
        <v>100</v>
      </c>
      <c r="N4" s="8">
        <v>500</v>
      </c>
      <c r="O4" s="8">
        <v>1</v>
      </c>
      <c r="P4" s="8">
        <f t="shared" ref="P4:P5" si="0">I4*J4</f>
        <v>4.8</v>
      </c>
      <c r="Q4" s="9">
        <f t="shared" ref="Q4" si="1">I4*K4</f>
        <v>16</v>
      </c>
      <c r="R4" s="9">
        <f t="shared" ref="R4" si="2">I4*L4</f>
        <v>64</v>
      </c>
      <c r="S4" s="9">
        <f t="shared" ref="S4" si="3">(I4*M4)/1000</f>
        <v>0.2</v>
      </c>
      <c r="T4" s="9">
        <f t="shared" ref="T4" si="4">(I4*N4)/1000</f>
        <v>1</v>
      </c>
      <c r="U4" s="9">
        <f>O4</f>
        <v>1</v>
      </c>
      <c r="V4" s="16"/>
    </row>
    <row r="5" spans="1:22" ht="30" x14ac:dyDescent="0.25">
      <c r="A5" s="29"/>
      <c r="B5" s="27"/>
      <c r="C5" s="10" t="s">
        <v>63</v>
      </c>
      <c r="D5" s="53"/>
      <c r="E5" s="8" t="s">
        <v>8</v>
      </c>
      <c r="F5" s="8" t="s">
        <v>57</v>
      </c>
      <c r="G5" s="8"/>
      <c r="H5" s="8" t="s">
        <v>9</v>
      </c>
      <c r="I5" s="8">
        <v>2</v>
      </c>
      <c r="J5" s="8">
        <v>2.4</v>
      </c>
      <c r="K5" s="8">
        <v>8</v>
      </c>
      <c r="L5" s="8">
        <v>32</v>
      </c>
      <c r="M5" s="8">
        <v>100</v>
      </c>
      <c r="N5" s="8">
        <v>500</v>
      </c>
      <c r="O5" s="8">
        <v>0.5</v>
      </c>
      <c r="P5" s="8">
        <f t="shared" si="0"/>
        <v>4.8</v>
      </c>
      <c r="Q5" s="9">
        <f>I5*K5</f>
        <v>16</v>
      </c>
      <c r="R5" s="9">
        <f>I5*L5</f>
        <v>64</v>
      </c>
      <c r="S5" s="9">
        <f>(I5*M5)/1000</f>
        <v>0.2</v>
      </c>
      <c r="T5" s="9">
        <f>(I5*N5)/1000</f>
        <v>1</v>
      </c>
      <c r="U5" s="9">
        <f>I5*O5</f>
        <v>1</v>
      </c>
      <c r="V5" s="16"/>
    </row>
    <row r="6" spans="1:22" x14ac:dyDescent="0.25">
      <c r="A6" s="30"/>
      <c r="B6" s="28"/>
      <c r="C6" s="21" t="s">
        <v>60</v>
      </c>
      <c r="D6" s="22"/>
      <c r="E6" s="22"/>
      <c r="F6" s="22"/>
      <c r="G6" s="22"/>
      <c r="H6" s="22"/>
      <c r="I6" s="23">
        <f>SUM(I4:I5)</f>
        <v>4</v>
      </c>
      <c r="J6" s="23"/>
      <c r="K6" s="23"/>
      <c r="L6" s="23"/>
      <c r="M6" s="23"/>
      <c r="N6" s="23"/>
      <c r="O6" s="22"/>
      <c r="P6" s="23">
        <f t="shared" ref="P6:U6" si="5">SUM(P4:P5)</f>
        <v>9.6</v>
      </c>
      <c r="Q6" s="23">
        <f t="shared" si="5"/>
        <v>32</v>
      </c>
      <c r="R6" s="23">
        <f t="shared" si="5"/>
        <v>128</v>
      </c>
      <c r="S6" s="23">
        <f t="shared" si="5"/>
        <v>0.4</v>
      </c>
      <c r="T6" s="23">
        <f t="shared" si="5"/>
        <v>2</v>
      </c>
      <c r="U6" s="23">
        <f t="shared" si="5"/>
        <v>2</v>
      </c>
      <c r="V6" s="16"/>
    </row>
    <row r="7" spans="1:22" ht="30" x14ac:dyDescent="0.25">
      <c r="A7" s="45">
        <v>2</v>
      </c>
      <c r="B7" s="48" t="s">
        <v>62</v>
      </c>
      <c r="C7" s="12" t="s">
        <v>61</v>
      </c>
      <c r="D7" s="51" t="s">
        <v>56</v>
      </c>
      <c r="E7" s="12" t="s">
        <v>8</v>
      </c>
      <c r="F7" s="12" t="s">
        <v>57</v>
      </c>
      <c r="G7" s="12"/>
      <c r="H7" s="11" t="s">
        <v>9</v>
      </c>
      <c r="I7" s="11">
        <v>2</v>
      </c>
      <c r="J7" s="11">
        <v>2.4</v>
      </c>
      <c r="K7" s="11">
        <v>8</v>
      </c>
      <c r="L7" s="11">
        <v>32</v>
      </c>
      <c r="M7" s="11">
        <v>100</v>
      </c>
      <c r="N7" s="11">
        <v>500</v>
      </c>
      <c r="O7" s="11">
        <v>1</v>
      </c>
      <c r="P7" s="11">
        <f t="shared" ref="P7:P8" si="6">I7*J7</f>
        <v>4.8</v>
      </c>
      <c r="Q7" s="11">
        <f t="shared" ref="Q7" si="7">I7*K7</f>
        <v>16</v>
      </c>
      <c r="R7" s="11">
        <f t="shared" ref="R7" si="8">I7*L7</f>
        <v>64</v>
      </c>
      <c r="S7" s="11">
        <f t="shared" ref="S7" si="9">(I7*M7)/1000</f>
        <v>0.2</v>
      </c>
      <c r="T7" s="11">
        <f t="shared" ref="T7" si="10">(I7*N7)/1000</f>
        <v>1</v>
      </c>
      <c r="U7" s="11">
        <f>O7</f>
        <v>1</v>
      </c>
      <c r="V7" s="16"/>
    </row>
    <row r="8" spans="1:22" ht="30" x14ac:dyDescent="0.25">
      <c r="A8" s="46"/>
      <c r="B8" s="49"/>
      <c r="C8" s="12" t="s">
        <v>63</v>
      </c>
      <c r="D8" s="52"/>
      <c r="E8" s="12" t="s">
        <v>8</v>
      </c>
      <c r="F8" s="12" t="s">
        <v>57</v>
      </c>
      <c r="G8" s="12"/>
      <c r="H8" s="11" t="s">
        <v>9</v>
      </c>
      <c r="I8" s="11">
        <v>2</v>
      </c>
      <c r="J8" s="11">
        <v>2.4</v>
      </c>
      <c r="K8" s="11">
        <v>8</v>
      </c>
      <c r="L8" s="11">
        <v>32</v>
      </c>
      <c r="M8" s="11">
        <v>100</v>
      </c>
      <c r="N8" s="11">
        <v>500</v>
      </c>
      <c r="O8" s="11">
        <v>0.5</v>
      </c>
      <c r="P8" s="11">
        <f t="shared" si="6"/>
        <v>4.8</v>
      </c>
      <c r="Q8" s="11">
        <f>I8*K8</f>
        <v>16</v>
      </c>
      <c r="R8" s="11">
        <f>I8*L8</f>
        <v>64</v>
      </c>
      <c r="S8" s="11">
        <f>(I8*M8)/1000</f>
        <v>0.2</v>
      </c>
      <c r="T8" s="11">
        <f>(I8*N8)/1000</f>
        <v>1</v>
      </c>
      <c r="U8" s="11">
        <f>I8*O8</f>
        <v>1</v>
      </c>
      <c r="V8" s="16"/>
    </row>
    <row r="9" spans="1:22" x14ac:dyDescent="0.25">
      <c r="A9" s="47"/>
      <c r="B9" s="50"/>
      <c r="C9" s="21" t="s">
        <v>60</v>
      </c>
      <c r="D9" s="21"/>
      <c r="E9" s="21"/>
      <c r="F9" s="21"/>
      <c r="G9" s="21"/>
      <c r="H9" s="21"/>
      <c r="I9" s="23">
        <f>SUM(I7:I8)</f>
        <v>4</v>
      </c>
      <c r="J9" s="23"/>
      <c r="K9" s="23"/>
      <c r="L9" s="23"/>
      <c r="M9" s="23"/>
      <c r="N9" s="23"/>
      <c r="O9" s="23"/>
      <c r="P9" s="23">
        <f t="shared" ref="P9:U9" si="11">SUM(P7:P8)</f>
        <v>9.6</v>
      </c>
      <c r="Q9" s="23">
        <f t="shared" si="11"/>
        <v>32</v>
      </c>
      <c r="R9" s="23">
        <f t="shared" si="11"/>
        <v>128</v>
      </c>
      <c r="S9" s="23">
        <f t="shared" si="11"/>
        <v>0.4</v>
      </c>
      <c r="T9" s="23">
        <f t="shared" si="11"/>
        <v>2</v>
      </c>
      <c r="U9" s="23">
        <f t="shared" si="11"/>
        <v>2</v>
      </c>
      <c r="V9" s="16"/>
    </row>
    <row r="10" spans="1:22" x14ac:dyDescent="0.25">
      <c r="A10" s="18"/>
      <c r="B10" s="19"/>
      <c r="C10" s="20"/>
      <c r="D10" s="18"/>
      <c r="E10" s="18"/>
      <c r="F10" s="18"/>
      <c r="G10" s="18"/>
      <c r="H10" s="18"/>
      <c r="I10" s="25"/>
      <c r="J10" s="18"/>
      <c r="K10" s="18"/>
      <c r="L10" s="18"/>
      <c r="M10" s="18"/>
      <c r="N10" s="18"/>
      <c r="O10" s="25"/>
      <c r="P10" s="18"/>
      <c r="Q10" s="20"/>
      <c r="R10" s="20"/>
      <c r="S10" s="20"/>
      <c r="T10" s="20"/>
      <c r="U10" s="20"/>
    </row>
  </sheetData>
  <mergeCells count="24">
    <mergeCell ref="A7:A9"/>
    <mergeCell ref="B7:B9"/>
    <mergeCell ref="D7:D8"/>
    <mergeCell ref="Q2:Q3"/>
    <mergeCell ref="R2:R3"/>
    <mergeCell ref="D4:D5"/>
    <mergeCell ref="J2:J3"/>
    <mergeCell ref="K2:K3"/>
    <mergeCell ref="J1:O1"/>
    <mergeCell ref="P1:U1"/>
    <mergeCell ref="A2:A3"/>
    <mergeCell ref="B2:B3"/>
    <mergeCell ref="C2:C3"/>
    <mergeCell ref="D2:D3"/>
    <mergeCell ref="E2:E3"/>
    <mergeCell ref="F2:F3"/>
    <mergeCell ref="H2:H3"/>
    <mergeCell ref="I2:I3"/>
    <mergeCell ref="S2:T2"/>
    <mergeCell ref="U2:U3"/>
    <mergeCell ref="L2:L3"/>
    <mergeCell ref="M2:N2"/>
    <mergeCell ref="O2:O3"/>
    <mergeCell ref="P2:P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T5"/>
  <sheetViews>
    <sheetView workbookViewId="0">
      <selection activeCell="L9" sqref="L9"/>
    </sheetView>
  </sheetViews>
  <sheetFormatPr defaultColWidth="8.85546875" defaultRowHeight="15" x14ac:dyDescent="0.25"/>
  <cols>
    <col min="1" max="1" width="6" customWidth="1"/>
    <col min="2" max="2" width="12.85546875" customWidth="1"/>
    <col min="3" max="3" width="30.42578125" customWidth="1"/>
    <col min="4" max="4" width="8.42578125" customWidth="1"/>
    <col min="5" max="5" width="9.42578125" customWidth="1"/>
    <col min="6" max="6" width="14.140625" customWidth="1"/>
    <col min="7" max="7" width="7.28515625" customWidth="1"/>
    <col min="8" max="8" width="6.42578125" bestFit="1" customWidth="1"/>
    <col min="9" max="9" width="6.42578125" customWidth="1"/>
    <col min="10" max="10" width="7.7109375" customWidth="1"/>
    <col min="11" max="11" width="6.42578125" customWidth="1"/>
    <col min="12" max="12" width="8.42578125" customWidth="1"/>
    <col min="13" max="15" width="9.42578125" customWidth="1"/>
  </cols>
  <sheetData>
    <row r="1" spans="1:20" x14ac:dyDescent="0.25">
      <c r="A1" s="13"/>
      <c r="B1" s="14"/>
      <c r="C1" s="15"/>
      <c r="D1" s="13"/>
      <c r="E1" s="13"/>
      <c r="F1" s="13"/>
      <c r="G1" s="13"/>
      <c r="H1" s="24"/>
      <c r="I1" s="40" t="s">
        <v>48</v>
      </c>
      <c r="J1" s="40"/>
      <c r="K1" s="40"/>
      <c r="L1" s="40"/>
      <c r="M1" s="40"/>
      <c r="N1" s="40"/>
      <c r="O1" s="41" t="s">
        <v>55</v>
      </c>
      <c r="P1" s="41"/>
      <c r="Q1" s="41"/>
      <c r="R1" s="41"/>
      <c r="S1" s="41"/>
      <c r="T1" s="41"/>
    </row>
    <row r="2" spans="1:20" x14ac:dyDescent="0.25">
      <c r="A2" s="42" t="s">
        <v>0</v>
      </c>
      <c r="B2" s="42" t="s">
        <v>1</v>
      </c>
      <c r="C2" s="42" t="s">
        <v>66</v>
      </c>
      <c r="D2" s="42" t="s">
        <v>11</v>
      </c>
      <c r="E2" s="42" t="s">
        <v>45</v>
      </c>
      <c r="F2" s="42" t="s">
        <v>2</v>
      </c>
      <c r="G2" s="42" t="s">
        <v>3</v>
      </c>
      <c r="H2" s="42" t="s">
        <v>4</v>
      </c>
      <c r="I2" s="42" t="s">
        <v>58</v>
      </c>
      <c r="J2" s="42" t="s">
        <v>52</v>
      </c>
      <c r="K2" s="42" t="s">
        <v>5</v>
      </c>
      <c r="L2" s="44" t="s">
        <v>6</v>
      </c>
      <c r="M2" s="44"/>
      <c r="N2" s="42" t="s">
        <v>59</v>
      </c>
      <c r="O2" s="42" t="s">
        <v>58</v>
      </c>
      <c r="P2" s="42" t="s">
        <v>49</v>
      </c>
      <c r="Q2" s="42" t="s">
        <v>50</v>
      </c>
      <c r="R2" s="42" t="s">
        <v>6</v>
      </c>
      <c r="S2" s="42"/>
      <c r="T2" s="42" t="s">
        <v>51</v>
      </c>
    </row>
    <row r="3" spans="1:20" ht="45" x14ac:dyDescent="0.25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17" t="s">
        <v>46</v>
      </c>
      <c r="M3" s="17" t="s">
        <v>47</v>
      </c>
      <c r="N3" s="43"/>
      <c r="O3" s="43"/>
      <c r="P3" s="43"/>
      <c r="Q3" s="43"/>
      <c r="R3" s="17" t="s">
        <v>53</v>
      </c>
      <c r="S3" s="17" t="s">
        <v>54</v>
      </c>
      <c r="T3" s="43"/>
    </row>
    <row r="4" spans="1:20" x14ac:dyDescent="0.25">
      <c r="A4" s="54">
        <v>1</v>
      </c>
      <c r="B4" s="56" t="s">
        <v>64</v>
      </c>
      <c r="C4" s="10" t="s">
        <v>65</v>
      </c>
      <c r="D4" s="8" t="s">
        <v>10</v>
      </c>
      <c r="E4" s="8" t="s">
        <v>67</v>
      </c>
      <c r="F4" s="8" t="s">
        <v>68</v>
      </c>
      <c r="G4" s="8" t="s">
        <v>69</v>
      </c>
      <c r="H4" s="8">
        <v>15</v>
      </c>
      <c r="I4" s="8">
        <v>2.4</v>
      </c>
      <c r="J4" s="8">
        <v>4</v>
      </c>
      <c r="K4" s="8">
        <v>8</v>
      </c>
      <c r="L4" s="8">
        <v>100</v>
      </c>
      <c r="M4" s="8">
        <v>500</v>
      </c>
      <c r="N4" s="8">
        <v>1</v>
      </c>
      <c r="O4" s="8">
        <f t="shared" ref="O4" si="0">H4*I4</f>
        <v>36</v>
      </c>
      <c r="P4" s="9">
        <f t="shared" ref="P4" si="1">H4*J4</f>
        <v>60</v>
      </c>
      <c r="Q4" s="9">
        <f t="shared" ref="Q4" si="2">H4*K4</f>
        <v>120</v>
      </c>
      <c r="R4" s="9">
        <f t="shared" ref="R4" si="3">(H4*L4)/1000</f>
        <v>1.5</v>
      </c>
      <c r="S4" s="9">
        <f t="shared" ref="S4" si="4">(H4*M4)/1000</f>
        <v>7.5</v>
      </c>
      <c r="T4" s="9">
        <f>N4</f>
        <v>1</v>
      </c>
    </row>
    <row r="5" spans="1:20" x14ac:dyDescent="0.25">
      <c r="A5" s="55"/>
      <c r="B5" s="57"/>
      <c r="C5" s="21" t="s">
        <v>60</v>
      </c>
      <c r="D5" s="22"/>
      <c r="E5" s="22"/>
      <c r="F5" s="22"/>
      <c r="G5" s="22"/>
      <c r="H5" s="23">
        <f>SUM(H4:H4)</f>
        <v>15</v>
      </c>
      <c r="I5" s="23"/>
      <c r="J5" s="23"/>
      <c r="K5" s="23"/>
      <c r="L5" s="23"/>
      <c r="M5" s="23"/>
      <c r="N5" s="22"/>
      <c r="O5" s="23">
        <f t="shared" ref="O5:T5" si="5">SUM(O4:O4)</f>
        <v>36</v>
      </c>
      <c r="P5" s="23">
        <f t="shared" si="5"/>
        <v>60</v>
      </c>
      <c r="Q5" s="23">
        <f t="shared" si="5"/>
        <v>120</v>
      </c>
      <c r="R5" s="23">
        <f t="shared" si="5"/>
        <v>1.5</v>
      </c>
      <c r="S5" s="23">
        <f t="shared" si="5"/>
        <v>7.5</v>
      </c>
      <c r="T5" s="23">
        <f t="shared" si="5"/>
        <v>1</v>
      </c>
    </row>
  </sheetData>
  <mergeCells count="22">
    <mergeCell ref="I1:N1"/>
    <mergeCell ref="O1:T1"/>
    <mergeCell ref="A2:A3"/>
    <mergeCell ref="B2:B3"/>
    <mergeCell ref="C2:C3"/>
    <mergeCell ref="D2:D3"/>
    <mergeCell ref="E2:E3"/>
    <mergeCell ref="F2:F3"/>
    <mergeCell ref="G2:G3"/>
    <mergeCell ref="H2:H3"/>
    <mergeCell ref="P2:P3"/>
    <mergeCell ref="Q2:Q3"/>
    <mergeCell ref="R2:S2"/>
    <mergeCell ref="T2:T3"/>
    <mergeCell ref="L2:M2"/>
    <mergeCell ref="N2:N3"/>
    <mergeCell ref="O2:O3"/>
    <mergeCell ref="A4:A5"/>
    <mergeCell ref="B4:B5"/>
    <mergeCell ref="I2:I3"/>
    <mergeCell ref="J2:J3"/>
    <mergeCell ref="K2:K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2:G30"/>
  <sheetViews>
    <sheetView workbookViewId="0">
      <selection activeCell="D3" sqref="D3"/>
    </sheetView>
  </sheetViews>
  <sheetFormatPr defaultColWidth="8.85546875" defaultRowHeight="15" x14ac:dyDescent="0.25"/>
  <cols>
    <col min="2" max="2" width="15.42578125" bestFit="1" customWidth="1"/>
    <col min="3" max="3" width="16.28515625" bestFit="1" customWidth="1"/>
    <col min="4" max="4" width="22.7109375" bestFit="1" customWidth="1"/>
    <col min="7" max="7" width="42.42578125" bestFit="1" customWidth="1"/>
  </cols>
  <sheetData>
    <row r="2" spans="1:7" x14ac:dyDescent="0.25">
      <c r="A2" s="1" t="s">
        <v>12</v>
      </c>
      <c r="B2" s="1"/>
      <c r="C2" s="1"/>
      <c r="D2" s="5" t="s">
        <v>44</v>
      </c>
    </row>
    <row r="3" spans="1:7" x14ac:dyDescent="0.25">
      <c r="A3" s="60" t="s">
        <v>13</v>
      </c>
      <c r="B3" s="61"/>
      <c r="C3" s="62"/>
      <c r="D3" s="1" t="s">
        <v>30</v>
      </c>
    </row>
    <row r="10" spans="1:7" x14ac:dyDescent="0.25">
      <c r="A10" s="6" t="s">
        <v>15</v>
      </c>
      <c r="B10" s="6" t="s">
        <v>16</v>
      </c>
      <c r="C10" s="6" t="s">
        <v>18</v>
      </c>
      <c r="D10" s="6" t="s">
        <v>20</v>
      </c>
      <c r="E10" s="6" t="s">
        <v>17</v>
      </c>
      <c r="F10" s="6" t="s">
        <v>23</v>
      </c>
      <c r="G10" s="7" t="s">
        <v>36</v>
      </c>
    </row>
    <row r="11" spans="1:7" x14ac:dyDescent="0.25">
      <c r="A11" s="58">
        <v>1</v>
      </c>
      <c r="B11" s="59" t="s">
        <v>40</v>
      </c>
      <c r="C11" s="4" t="s">
        <v>19</v>
      </c>
      <c r="D11" s="4" t="s">
        <v>22</v>
      </c>
      <c r="E11" s="3" t="s">
        <v>27</v>
      </c>
      <c r="F11" s="58" t="s">
        <v>24</v>
      </c>
      <c r="G11" s="1" t="s">
        <v>35</v>
      </c>
    </row>
    <row r="12" spans="1:7" x14ac:dyDescent="0.25">
      <c r="A12" s="58"/>
      <c r="B12" s="59"/>
      <c r="C12" s="58" t="s">
        <v>25</v>
      </c>
      <c r="D12" s="4" t="s">
        <v>22</v>
      </c>
      <c r="E12" s="3" t="s">
        <v>38</v>
      </c>
      <c r="F12" s="58"/>
      <c r="G12" s="1"/>
    </row>
    <row r="13" spans="1:7" x14ac:dyDescent="0.25">
      <c r="A13" s="58"/>
      <c r="B13" s="59"/>
      <c r="C13" s="58"/>
      <c r="D13" s="2" t="s">
        <v>21</v>
      </c>
      <c r="E13" s="3" t="s">
        <v>14</v>
      </c>
      <c r="F13" s="58"/>
      <c r="G13" s="1"/>
    </row>
    <row r="14" spans="1:7" x14ac:dyDescent="0.25">
      <c r="A14" s="2">
        <v>2</v>
      </c>
      <c r="B14" s="2" t="s">
        <v>26</v>
      </c>
      <c r="C14" s="1" t="s">
        <v>29</v>
      </c>
      <c r="D14" s="4" t="s">
        <v>22</v>
      </c>
      <c r="E14" s="2" t="s">
        <v>43</v>
      </c>
      <c r="F14" s="2" t="s">
        <v>24</v>
      </c>
      <c r="G14" s="1"/>
    </row>
    <row r="15" spans="1:7" x14ac:dyDescent="0.25">
      <c r="A15" s="58">
        <v>3</v>
      </c>
      <c r="B15" s="59" t="s">
        <v>40</v>
      </c>
      <c r="C15" s="4" t="s">
        <v>19</v>
      </c>
      <c r="D15" s="4" t="s">
        <v>22</v>
      </c>
      <c r="E15" s="3" t="s">
        <v>37</v>
      </c>
      <c r="F15" s="58" t="s">
        <v>31</v>
      </c>
      <c r="G15" s="1" t="s">
        <v>35</v>
      </c>
    </row>
    <row r="16" spans="1:7" x14ac:dyDescent="0.25">
      <c r="A16" s="58"/>
      <c r="B16" s="59"/>
      <c r="C16" s="58" t="s">
        <v>25</v>
      </c>
      <c r="D16" s="4" t="s">
        <v>22</v>
      </c>
      <c r="E16" s="3" t="s">
        <v>39</v>
      </c>
      <c r="F16" s="58"/>
      <c r="G16" s="1"/>
    </row>
    <row r="17" spans="1:7" x14ac:dyDescent="0.25">
      <c r="A17" s="58"/>
      <c r="B17" s="59"/>
      <c r="C17" s="58"/>
      <c r="D17" s="2" t="s">
        <v>21</v>
      </c>
      <c r="E17" s="3" t="s">
        <v>14</v>
      </c>
      <c r="F17" s="58"/>
      <c r="G17" s="1"/>
    </row>
    <row r="18" spans="1:7" x14ac:dyDescent="0.25">
      <c r="A18" s="2">
        <v>4</v>
      </c>
      <c r="B18" s="2" t="s">
        <v>26</v>
      </c>
      <c r="C18" s="1" t="s">
        <v>29</v>
      </c>
      <c r="D18" s="4" t="s">
        <v>22</v>
      </c>
      <c r="E18" s="2" t="s">
        <v>43</v>
      </c>
      <c r="F18" s="2" t="s">
        <v>31</v>
      </c>
      <c r="G18" s="1"/>
    </row>
    <row r="19" spans="1:7" x14ac:dyDescent="0.25">
      <c r="A19" s="58">
        <v>5</v>
      </c>
      <c r="B19" s="59" t="s">
        <v>40</v>
      </c>
      <c r="C19" s="4" t="s">
        <v>19</v>
      </c>
      <c r="D19" s="4" t="s">
        <v>22</v>
      </c>
      <c r="E19" s="3" t="s">
        <v>37</v>
      </c>
      <c r="F19" s="58" t="s">
        <v>33</v>
      </c>
      <c r="G19" s="1" t="s">
        <v>35</v>
      </c>
    </row>
    <row r="20" spans="1:7" x14ac:dyDescent="0.25">
      <c r="A20" s="58"/>
      <c r="B20" s="59"/>
      <c r="C20" s="58" t="s">
        <v>25</v>
      </c>
      <c r="D20" s="4" t="s">
        <v>22</v>
      </c>
      <c r="E20" s="3" t="s">
        <v>41</v>
      </c>
      <c r="F20" s="58"/>
      <c r="G20" s="1"/>
    </row>
    <row r="21" spans="1:7" x14ac:dyDescent="0.25">
      <c r="A21" s="58"/>
      <c r="B21" s="59"/>
      <c r="C21" s="58"/>
      <c r="D21" s="2" t="s">
        <v>21</v>
      </c>
      <c r="E21" s="3" t="s">
        <v>14</v>
      </c>
      <c r="F21" s="58"/>
      <c r="G21" s="1"/>
    </row>
    <row r="22" spans="1:7" x14ac:dyDescent="0.25">
      <c r="A22" s="2">
        <v>6</v>
      </c>
      <c r="B22" s="2" t="s">
        <v>26</v>
      </c>
      <c r="C22" s="1" t="s">
        <v>29</v>
      </c>
      <c r="D22" s="4" t="s">
        <v>22</v>
      </c>
      <c r="E22" s="2" t="s">
        <v>43</v>
      </c>
      <c r="F22" s="2" t="s">
        <v>33</v>
      </c>
      <c r="G22" s="1"/>
    </row>
    <row r="23" spans="1:7" x14ac:dyDescent="0.25">
      <c r="A23" s="58">
        <v>7</v>
      </c>
      <c r="B23" s="59" t="s">
        <v>40</v>
      </c>
      <c r="C23" s="4" t="s">
        <v>19</v>
      </c>
      <c r="D23" s="4" t="s">
        <v>22</v>
      </c>
      <c r="E23" s="3" t="s">
        <v>37</v>
      </c>
      <c r="F23" s="58" t="s">
        <v>32</v>
      </c>
      <c r="G23" s="1" t="s">
        <v>35</v>
      </c>
    </row>
    <row r="24" spans="1:7" x14ac:dyDescent="0.25">
      <c r="A24" s="58"/>
      <c r="B24" s="59"/>
      <c r="C24" s="58" t="s">
        <v>25</v>
      </c>
      <c r="D24" s="4" t="s">
        <v>22</v>
      </c>
      <c r="E24" s="3" t="s">
        <v>42</v>
      </c>
      <c r="F24" s="58"/>
      <c r="G24" s="1"/>
    </row>
    <row r="25" spans="1:7" x14ac:dyDescent="0.25">
      <c r="A25" s="58"/>
      <c r="B25" s="59"/>
      <c r="C25" s="58"/>
      <c r="D25" s="2" t="s">
        <v>21</v>
      </c>
      <c r="E25" s="3" t="s">
        <v>14</v>
      </c>
      <c r="F25" s="58"/>
      <c r="G25" s="1"/>
    </row>
    <row r="26" spans="1:7" x14ac:dyDescent="0.25">
      <c r="A26" s="2">
        <v>8</v>
      </c>
      <c r="B26" s="2" t="s">
        <v>26</v>
      </c>
      <c r="C26" s="1" t="s">
        <v>29</v>
      </c>
      <c r="D26" s="4" t="s">
        <v>22</v>
      </c>
      <c r="E26" s="2" t="s">
        <v>28</v>
      </c>
      <c r="F26" s="2" t="s">
        <v>32</v>
      </c>
      <c r="G26" s="1"/>
    </row>
    <row r="27" spans="1:7" x14ac:dyDescent="0.25">
      <c r="A27" s="58">
        <v>9</v>
      </c>
      <c r="B27" s="59" t="s">
        <v>40</v>
      </c>
      <c r="C27" s="4" t="s">
        <v>19</v>
      </c>
      <c r="D27" s="4" t="s">
        <v>22</v>
      </c>
      <c r="E27" s="3" t="s">
        <v>37</v>
      </c>
      <c r="F27" s="58" t="s">
        <v>34</v>
      </c>
      <c r="G27" s="1" t="s">
        <v>35</v>
      </c>
    </row>
    <row r="28" spans="1:7" x14ac:dyDescent="0.25">
      <c r="A28" s="58"/>
      <c r="B28" s="59"/>
      <c r="C28" s="58" t="s">
        <v>25</v>
      </c>
      <c r="D28" s="4" t="s">
        <v>22</v>
      </c>
      <c r="E28" s="3" t="s">
        <v>42</v>
      </c>
      <c r="F28" s="58"/>
      <c r="G28" s="1"/>
    </row>
    <row r="29" spans="1:7" x14ac:dyDescent="0.25">
      <c r="A29" s="58"/>
      <c r="B29" s="59"/>
      <c r="C29" s="58"/>
      <c r="D29" s="2" t="s">
        <v>21</v>
      </c>
      <c r="E29" s="3" t="s">
        <v>14</v>
      </c>
      <c r="F29" s="58"/>
      <c r="G29" s="1"/>
    </row>
    <row r="30" spans="1:7" x14ac:dyDescent="0.25">
      <c r="A30" s="2">
        <v>10</v>
      </c>
      <c r="B30" s="2" t="s">
        <v>26</v>
      </c>
      <c r="C30" s="1" t="s">
        <v>29</v>
      </c>
      <c r="D30" s="4" t="s">
        <v>22</v>
      </c>
      <c r="E30" s="2" t="s">
        <v>14</v>
      </c>
      <c r="F30" s="2" t="s">
        <v>34</v>
      </c>
      <c r="G30" s="1"/>
    </row>
  </sheetData>
  <mergeCells count="21">
    <mergeCell ref="A23:A25"/>
    <mergeCell ref="B23:B25"/>
    <mergeCell ref="F23:F25"/>
    <mergeCell ref="C24:C25"/>
    <mergeCell ref="A27:A29"/>
    <mergeCell ref="B27:B29"/>
    <mergeCell ref="F27:F29"/>
    <mergeCell ref="C28:C29"/>
    <mergeCell ref="A3:C3"/>
    <mergeCell ref="A15:A17"/>
    <mergeCell ref="B15:B17"/>
    <mergeCell ref="F15:F17"/>
    <mergeCell ref="C16:C17"/>
    <mergeCell ref="A19:A21"/>
    <mergeCell ref="B19:B21"/>
    <mergeCell ref="F19:F21"/>
    <mergeCell ref="C20:C21"/>
    <mergeCell ref="F11:F13"/>
    <mergeCell ref="A11:A13"/>
    <mergeCell ref="B11:B13"/>
    <mergeCell ref="C12:C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>
    <tabColor rgb="FF00B0F0"/>
  </sheetPr>
  <dimension ref="A1:M5"/>
  <sheetViews>
    <sheetView zoomScale="85" zoomScaleNormal="85" workbookViewId="0">
      <selection activeCell="C12" sqref="C12"/>
    </sheetView>
  </sheetViews>
  <sheetFormatPr defaultRowHeight="14.25" x14ac:dyDescent="0.2"/>
  <cols>
    <col min="1" max="1" width="9.5703125" style="68" customWidth="1"/>
    <col min="2" max="2" width="38.5703125" style="68" bestFit="1" customWidth="1"/>
    <col min="3" max="3" width="18.140625" style="68" customWidth="1"/>
    <col min="4" max="4" width="20.140625" style="68" bestFit="1" customWidth="1"/>
    <col min="5" max="5" width="17.28515625" style="68" customWidth="1"/>
    <col min="6" max="6" width="7.28515625" style="68" customWidth="1"/>
    <col min="7" max="7" width="9.42578125" style="68" customWidth="1"/>
    <col min="8" max="8" width="14.5703125" style="68" bestFit="1" customWidth="1"/>
    <col min="9" max="9" width="23" style="68" bestFit="1" customWidth="1"/>
    <col min="10" max="10" width="18.5703125" style="68" bestFit="1" customWidth="1"/>
    <col min="11" max="11" width="19.140625" style="68" bestFit="1" customWidth="1"/>
    <col min="12" max="12" width="18.7109375" style="68" bestFit="1" customWidth="1"/>
    <col min="13" max="13" width="13" style="68" customWidth="1"/>
    <col min="14" max="14" width="59.7109375" style="68" customWidth="1"/>
    <col min="15" max="15" width="36.5703125" style="68" customWidth="1"/>
    <col min="16" max="16384" width="9.140625" style="68"/>
  </cols>
  <sheetData>
    <row r="1" spans="1:13" ht="30.75" customHeight="1" thickBot="1" x14ac:dyDescent="0.25">
      <c r="A1" s="65" t="s">
        <v>123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7"/>
    </row>
    <row r="2" spans="1:13" ht="43.5" thickBot="1" x14ac:dyDescent="0.25">
      <c r="A2" s="69" t="s">
        <v>96</v>
      </c>
      <c r="B2" s="70" t="s">
        <v>97</v>
      </c>
      <c r="C2" s="70" t="s">
        <v>98</v>
      </c>
      <c r="D2" s="70" t="s">
        <v>99</v>
      </c>
      <c r="E2" s="70" t="s">
        <v>92</v>
      </c>
      <c r="F2" s="70" t="s">
        <v>100</v>
      </c>
      <c r="G2" s="70" t="s">
        <v>101</v>
      </c>
      <c r="H2" s="70" t="s">
        <v>93</v>
      </c>
      <c r="I2" s="70" t="s">
        <v>102</v>
      </c>
      <c r="J2" s="70" t="s">
        <v>125</v>
      </c>
      <c r="K2" s="70" t="s">
        <v>129</v>
      </c>
      <c r="L2" s="70" t="s">
        <v>95</v>
      </c>
      <c r="M2" s="71" t="s">
        <v>94</v>
      </c>
    </row>
    <row r="3" spans="1:13" ht="37.5" customHeight="1" thickBot="1" x14ac:dyDescent="0.25">
      <c r="A3" s="72">
        <v>1</v>
      </c>
      <c r="B3" s="73" t="s">
        <v>116</v>
      </c>
      <c r="C3" s="74">
        <v>200</v>
      </c>
      <c r="D3" s="75" t="s">
        <v>128</v>
      </c>
      <c r="E3" s="75" t="s">
        <v>72</v>
      </c>
      <c r="F3" s="75">
        <v>25</v>
      </c>
      <c r="G3" s="75">
        <v>24</v>
      </c>
      <c r="H3" s="75">
        <v>180</v>
      </c>
      <c r="I3" s="75">
        <v>1024</v>
      </c>
      <c r="J3" s="76">
        <f>ROUNDUP((I3/8)*G3*60*60*C3*H3/(1000*1000*1000),0)</f>
        <v>399</v>
      </c>
      <c r="K3" s="77">
        <f>ROUNDUP(((I3/1024)*C3)*1.5,0)</f>
        <v>300</v>
      </c>
      <c r="L3" s="74">
        <f>ROUNDUP(K3/8,0)</f>
        <v>38</v>
      </c>
      <c r="M3" s="78">
        <f>(L3*1024)/64</f>
        <v>608</v>
      </c>
    </row>
    <row r="4" spans="1:13" ht="30.75" customHeight="1" thickBot="1" x14ac:dyDescent="0.25">
      <c r="A4" s="79" t="s">
        <v>103</v>
      </c>
      <c r="B4" s="80"/>
      <c r="C4" s="81">
        <f>SUM(C3:C3)</f>
        <v>200</v>
      </c>
      <c r="D4" s="82" t="s">
        <v>111</v>
      </c>
      <c r="E4" s="82"/>
      <c r="F4" s="82"/>
      <c r="G4" s="82"/>
      <c r="H4" s="82"/>
      <c r="I4" s="82"/>
      <c r="J4" s="81">
        <f>SUM(J3:J3)</f>
        <v>399</v>
      </c>
      <c r="K4" s="83">
        <f>SUM(K3:K3)</f>
        <v>300</v>
      </c>
      <c r="L4" s="84">
        <f>SUM(L3:L3)</f>
        <v>38</v>
      </c>
      <c r="M4" s="85">
        <f>SUM(M3:M3)</f>
        <v>608</v>
      </c>
    </row>
    <row r="5" spans="1:13" ht="24.75" customHeight="1" x14ac:dyDescent="0.2">
      <c r="A5" s="86"/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</row>
  </sheetData>
  <mergeCells count="4">
    <mergeCell ref="D4:I4"/>
    <mergeCell ref="A5:M5"/>
    <mergeCell ref="A1:M1"/>
    <mergeCell ref="A4:B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>
    <tabColor theme="5" tint="-0.249977111117893"/>
  </sheetPr>
  <dimension ref="A1:B14"/>
  <sheetViews>
    <sheetView workbookViewId="0">
      <selection activeCell="B15" sqref="B15"/>
    </sheetView>
  </sheetViews>
  <sheetFormatPr defaultRowHeight="60.75" customHeight="1" x14ac:dyDescent="0.25"/>
  <cols>
    <col min="1" max="1" width="9.140625" style="32"/>
    <col min="2" max="2" width="134" style="33" customWidth="1"/>
    <col min="3" max="16384" width="9.140625" style="31"/>
  </cols>
  <sheetData>
    <row r="1" spans="1:2" ht="29.25" customHeight="1" thickBot="1" x14ac:dyDescent="0.3">
      <c r="A1" s="63" t="s">
        <v>79</v>
      </c>
      <c r="B1" s="64"/>
    </row>
    <row r="2" spans="1:2" ht="29.25" customHeight="1" x14ac:dyDescent="0.25">
      <c r="A2" s="34">
        <v>1</v>
      </c>
      <c r="B2" s="35" t="s">
        <v>107</v>
      </c>
    </row>
    <row r="3" spans="1:2" ht="42.75" x14ac:dyDescent="0.25">
      <c r="A3" s="36">
        <v>2</v>
      </c>
      <c r="B3" s="37" t="s">
        <v>104</v>
      </c>
    </row>
    <row r="4" spans="1:2" ht="42.75" x14ac:dyDescent="0.25">
      <c r="A4" s="36">
        <v>3</v>
      </c>
      <c r="B4" s="37" t="s">
        <v>132</v>
      </c>
    </row>
    <row r="5" spans="1:2" ht="23.25" customHeight="1" x14ac:dyDescent="0.25">
      <c r="A5" s="36">
        <v>4</v>
      </c>
      <c r="B5" s="37" t="s">
        <v>117</v>
      </c>
    </row>
    <row r="6" spans="1:2" ht="28.5" x14ac:dyDescent="0.25">
      <c r="A6" s="36">
        <v>5</v>
      </c>
      <c r="B6" s="37" t="s">
        <v>118</v>
      </c>
    </row>
    <row r="7" spans="1:2" ht="28.5" x14ac:dyDescent="0.25">
      <c r="A7" s="36">
        <v>6</v>
      </c>
      <c r="B7" s="37" t="s">
        <v>119</v>
      </c>
    </row>
    <row r="8" spans="1:2" ht="21" customHeight="1" x14ac:dyDescent="0.25">
      <c r="A8" s="36">
        <v>7</v>
      </c>
      <c r="B8" s="37" t="s">
        <v>84</v>
      </c>
    </row>
    <row r="9" spans="1:2" ht="28.5" x14ac:dyDescent="0.25">
      <c r="A9" s="36">
        <v>8</v>
      </c>
      <c r="B9" s="37" t="s">
        <v>120</v>
      </c>
    </row>
    <row r="10" spans="1:2" ht="28.5" x14ac:dyDescent="0.25">
      <c r="A10" s="36">
        <v>9</v>
      </c>
      <c r="B10" s="37" t="s">
        <v>121</v>
      </c>
    </row>
    <row r="11" spans="1:2" ht="15" x14ac:dyDescent="0.25">
      <c r="A11" s="36">
        <v>10</v>
      </c>
      <c r="B11" s="37" t="s">
        <v>122</v>
      </c>
    </row>
    <row r="12" spans="1:2" ht="15" x14ac:dyDescent="0.25">
      <c r="A12" s="36">
        <v>11</v>
      </c>
      <c r="B12" s="37" t="s">
        <v>78</v>
      </c>
    </row>
    <row r="13" spans="1:2" ht="29.25" thickBot="1" x14ac:dyDescent="0.3">
      <c r="A13" s="38">
        <v>12</v>
      </c>
      <c r="B13" s="39" t="s">
        <v>108</v>
      </c>
    </row>
    <row r="14" spans="1:2" ht="15" x14ac:dyDescent="0.25"/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Server Req.</vt:lpstr>
      <vt:lpstr>SWM &amp; ITS - Server Conf.</vt:lpstr>
      <vt:lpstr>Operator-Workstation</vt:lpstr>
      <vt:lpstr>Bandwidth</vt:lpstr>
      <vt:lpstr>Storage Req.</vt:lpstr>
      <vt:lpstr>Assumption &amp; Dependencies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Dobhal</dc:creator>
  <cp:lastModifiedBy>Lucifer</cp:lastModifiedBy>
  <dcterms:created xsi:type="dcterms:W3CDTF">2017-02-08T07:57:44Z</dcterms:created>
  <dcterms:modified xsi:type="dcterms:W3CDTF">2025-01-23T06:29:47Z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ec9f2dda-5201-486e-a645-d5309cc39658</vt:lpwstr>
  </property>
</Properties>
</file>